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a Kumare\OneDrive\Nikita Files\Data Analytics\Day 2\"/>
    </mc:Choice>
  </mc:AlternateContent>
  <xr:revisionPtr revIDLastSave="4" documentId="13_ncr:1_{F0D78382-D94B-4589-88D4-844A227AFB1D}" xr6:coauthVersionLast="47" xr6:coauthVersionMax="47" xr10:uidLastSave="{074D15E2-3B08-4FE2-BE1B-04D908AA4087}"/>
  <bookViews>
    <workbookView xWindow="-108" yWindow="-108" windowWidth="23256" windowHeight="13896" xr2:uid="{13A26328-3B52-49DF-9EDD-C1F638BB3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4" i="1"/>
  <c r="C32" i="1"/>
  <c r="E25" i="1" l="1"/>
  <c r="E24" i="1"/>
  <c r="E23" i="1"/>
  <c r="E22" i="1"/>
  <c r="E21" i="1"/>
  <c r="E20" i="1"/>
  <c r="E19" i="1"/>
  <c r="G11" i="1"/>
  <c r="G12" i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G13" i="1" s="1"/>
  <c r="F14" i="1"/>
  <c r="G14" i="1" s="1"/>
  <c r="F15" i="1"/>
  <c r="G15" i="1" s="1"/>
  <c r="F6" i="1"/>
  <c r="G6" i="1" s="1"/>
  <c r="G9" i="1" l="1"/>
  <c r="G7" i="1"/>
  <c r="H6" i="1"/>
  <c r="H14" i="1"/>
  <c r="H13" i="1"/>
  <c r="G10" i="1"/>
  <c r="G8" i="1"/>
  <c r="H15" i="1"/>
</calcChain>
</file>

<file path=xl/sharedStrings.xml><?xml version="1.0" encoding="utf-8"?>
<sst xmlns="http://schemas.openxmlformats.org/spreadsheetml/2006/main" count="53" uniqueCount="50">
  <si>
    <t>Excel Data Analyst Assignment</t>
  </si>
  <si>
    <t>Instructions: Fill ONLY the highlighted OUTPUT cells using Excel formulas. Do not hardcode values.</t>
  </si>
  <si>
    <t>Clear the existing scores for Math, Science, and English, then generate new scores using RANDBETWEEN, RANDARRAY, and RAND.</t>
  </si>
  <si>
    <t>SECTION 1: Generate Random Scores</t>
  </si>
  <si>
    <t>Student ID</t>
  </si>
  <si>
    <t>Name</t>
  </si>
  <si>
    <t>Math</t>
  </si>
  <si>
    <t>Science</t>
  </si>
  <si>
    <t>English</t>
  </si>
  <si>
    <t>Total (OUTPUT)</t>
  </si>
  <si>
    <t>Rank EQ (OUTPUT)</t>
  </si>
  <si>
    <t>Rank AVG (OUTPUT)</t>
  </si>
  <si>
    <t>S101</t>
  </si>
  <si>
    <t>Asha</t>
  </si>
  <si>
    <t>S102</t>
  </si>
  <si>
    <t>Bharat</t>
  </si>
  <si>
    <t>S103</t>
  </si>
  <si>
    <t>Chirag</t>
  </si>
  <si>
    <t>S104</t>
  </si>
  <si>
    <t>Diya</t>
  </si>
  <si>
    <t>S105</t>
  </si>
  <si>
    <t>Esha</t>
  </si>
  <si>
    <t>S106</t>
  </si>
  <si>
    <t>Farhan</t>
  </si>
  <si>
    <t>S107</t>
  </si>
  <si>
    <t>Gauri</t>
  </si>
  <si>
    <t>S108</t>
  </si>
  <si>
    <t>Harsh</t>
  </si>
  <si>
    <t>S109</t>
  </si>
  <si>
    <t>Ira</t>
  </si>
  <si>
    <t>S110</t>
  </si>
  <si>
    <t>Jatin</t>
  </si>
  <si>
    <t>SECTION 2: Summary Calculations (OUTPUT Cells Only)</t>
  </si>
  <si>
    <t>Metric</t>
  </si>
  <si>
    <t>Total</t>
  </si>
  <si>
    <t>SUM</t>
  </si>
  <si>
    <t>AVERAGE</t>
  </si>
  <si>
    <t>MIN</t>
  </si>
  <si>
    <t>MAX</t>
  </si>
  <si>
    <t>COUNT</t>
  </si>
  <si>
    <t>COUNTA</t>
  </si>
  <si>
    <t>COUNTBLANK</t>
  </si>
  <si>
    <t>SECTION 3: Absolute vs Relative Reference</t>
  </si>
  <si>
    <t>Tax Rate</t>
  </si>
  <si>
    <t>Item</t>
  </si>
  <si>
    <t>Amount</t>
  </si>
  <si>
    <t>With Tax (OUTPUT)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</si>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</sst>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48DD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6">
    <xf numFmtId="0" fontId="0" fillId="0" borderId="0" xfId="0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2" xfId="0" applyFont="1" applyBorder="1" applyAlignment="1">
      <alignment horizontal="right" wrapText="1"/>
    </xf>
    <xf numFmtId="0" fontId="2" fillId="0" borderId="13" xfId="0" applyFont="1" applyBorder="1" applyAlignment="1">
      <alignment wrapText="1"/>
    </xf>
    <xf numFmtId="0" fontId="2" fillId="5" borderId="12" xfId="0" applyFont="1" applyFill="1" applyBorder="1" applyAlignment="1">
      <alignment wrapText="1"/>
    </xf>
    <xf numFmtId="0" fontId="4" fillId="4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right" wrapText="1"/>
    </xf>
    <xf numFmtId="9" fontId="2" fillId="0" borderId="4" xfId="1" applyFont="1" applyBorder="1" applyAlignment="1">
      <alignment horizontal="right" wrapText="1"/>
    </xf>
    <xf numFmtId="0" fontId="2" fillId="5" borderId="4" xfId="1" applyNumberFormat="1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3" fillId="3" borderId="8" xfId="0" applyFont="1" applyFill="1" applyBorder="1" applyAlignment="1">
      <alignment wrapText="1"/>
    </xf>
    <xf numFmtId="0" fontId="3" fillId="3" borderId="9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3" fillId="3" borderId="7" xfId="0" applyFont="1" applyFill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BC80-0EF4-4820-95EA-DD39F849ED0D}">
  <dimension ref="A1:H37"/>
  <sheetViews>
    <sheetView tabSelected="1" topLeftCell="A8" workbookViewId="0">
      <selection activeCell="D33" sqref="D33"/>
    </sheetView>
  </sheetViews>
  <sheetFormatPr defaultRowHeight="14.4" x14ac:dyDescent="0.3"/>
  <cols>
    <col min="1" max="11" width="17.77734375" customWidth="1"/>
  </cols>
  <sheetData>
    <row r="1" spans="1:8" ht="21.6" thickBot="1" x14ac:dyDescent="0.35">
      <c r="A1" s="14" t="s">
        <v>0</v>
      </c>
      <c r="B1" s="15"/>
      <c r="C1" s="15"/>
      <c r="D1" s="15"/>
      <c r="E1" s="15"/>
      <c r="F1" s="15"/>
      <c r="G1" s="15"/>
      <c r="H1" s="16"/>
    </row>
    <row r="2" spans="1:8" ht="28.8" customHeight="1" thickBot="1" x14ac:dyDescent="0.35">
      <c r="A2" s="17" t="s">
        <v>1</v>
      </c>
      <c r="B2" s="18"/>
      <c r="C2" s="18"/>
      <c r="D2" s="18"/>
      <c r="E2" s="18"/>
      <c r="F2" s="18"/>
      <c r="G2" s="18"/>
      <c r="H2" s="19"/>
    </row>
    <row r="3" spans="1:8" ht="15" thickBot="1" x14ac:dyDescent="0.35">
      <c r="A3" s="1" t="s">
        <v>2</v>
      </c>
      <c r="B3" s="2"/>
      <c r="C3" s="2"/>
      <c r="D3" s="2"/>
      <c r="E3" s="2"/>
      <c r="F3" s="2"/>
      <c r="G3" s="2"/>
      <c r="H3" s="2"/>
    </row>
    <row r="4" spans="1:8" ht="15" thickBot="1" x14ac:dyDescent="0.35">
      <c r="A4" s="20" t="s">
        <v>3</v>
      </c>
      <c r="B4" s="21"/>
      <c r="C4" s="21"/>
      <c r="D4" s="21"/>
      <c r="E4" s="21"/>
      <c r="F4" s="21"/>
      <c r="G4" s="21"/>
      <c r="H4" s="22"/>
    </row>
    <row r="5" spans="1:8" ht="58.2" thickBot="1" x14ac:dyDescent="0.35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</row>
    <row r="6" spans="1:8" ht="15" thickBot="1" x14ac:dyDescent="0.35">
      <c r="A6" s="5" t="s">
        <v>12</v>
      </c>
      <c r="B6" s="6" t="s">
        <v>13</v>
      </c>
      <c r="C6" s="7">
        <v>72</v>
      </c>
      <c r="D6" s="7">
        <v>72</v>
      </c>
      <c r="E6" s="7">
        <v>79</v>
      </c>
      <c r="F6" s="6">
        <f>SUM(C6:E6)</f>
        <v>223</v>
      </c>
      <c r="G6" s="6">
        <f>_xlfn.RANK.EQ(F6,$F$6:$F$15,0)</f>
        <v>4</v>
      </c>
      <c r="H6" s="6">
        <f>_xlfn.RANK.AVG(F6,$F$6:$F$15,0)</f>
        <v>4</v>
      </c>
    </row>
    <row r="7" spans="1:8" ht="15" thickBot="1" x14ac:dyDescent="0.35">
      <c r="A7" s="5" t="s">
        <v>14</v>
      </c>
      <c r="B7" s="6" t="s">
        <v>15</v>
      </c>
      <c r="C7" s="7">
        <v>98</v>
      </c>
      <c r="D7" s="6"/>
      <c r="E7" s="7">
        <v>87</v>
      </c>
      <c r="F7" s="6">
        <f t="shared" ref="F7:F15" si="0">SUM(C7:E7)</f>
        <v>185</v>
      </c>
      <c r="G7" s="6">
        <f t="shared" ref="G7:G15" si="1">_xlfn.RANK.EQ(F7,$F$6:$F$15,0)</f>
        <v>6</v>
      </c>
      <c r="H7" s="6">
        <f t="shared" ref="H7:H15" si="2">_xlfn.RANK.AVG(F7,$F$6:$F$15,0)</f>
        <v>6</v>
      </c>
    </row>
    <row r="8" spans="1:8" ht="15" thickBot="1" x14ac:dyDescent="0.35">
      <c r="A8" s="5" t="s">
        <v>16</v>
      </c>
      <c r="B8" s="6" t="s">
        <v>17</v>
      </c>
      <c r="C8" s="7">
        <v>70</v>
      </c>
      <c r="D8" s="7">
        <v>89</v>
      </c>
      <c r="E8" s="6"/>
      <c r="F8" s="6">
        <f t="shared" si="0"/>
        <v>159</v>
      </c>
      <c r="G8" s="6">
        <f t="shared" si="1"/>
        <v>9</v>
      </c>
      <c r="H8" s="6">
        <f t="shared" si="2"/>
        <v>9.5</v>
      </c>
    </row>
    <row r="9" spans="1:8" ht="15" thickBot="1" x14ac:dyDescent="0.35">
      <c r="A9" s="5" t="s">
        <v>18</v>
      </c>
      <c r="B9" s="6" t="s">
        <v>19</v>
      </c>
      <c r="C9" s="7">
        <v>74</v>
      </c>
      <c r="D9" s="7">
        <v>98</v>
      </c>
      <c r="E9" s="7">
        <v>93</v>
      </c>
      <c r="F9" s="6">
        <f t="shared" si="0"/>
        <v>265</v>
      </c>
      <c r="G9" s="6">
        <f t="shared" si="1"/>
        <v>2</v>
      </c>
      <c r="H9" s="6">
        <f t="shared" si="2"/>
        <v>2</v>
      </c>
    </row>
    <row r="10" spans="1:8" ht="15" thickBot="1" x14ac:dyDescent="0.35">
      <c r="A10" s="5" t="s">
        <v>20</v>
      </c>
      <c r="B10" s="6" t="s">
        <v>21</v>
      </c>
      <c r="C10" s="6">
        <v>94</v>
      </c>
      <c r="D10" s="7">
        <v>73</v>
      </c>
      <c r="E10" s="7">
        <v>90</v>
      </c>
      <c r="F10" s="6">
        <f t="shared" si="0"/>
        <v>257</v>
      </c>
      <c r="G10" s="6">
        <f t="shared" si="1"/>
        <v>3</v>
      </c>
      <c r="H10" s="6">
        <f t="shared" si="2"/>
        <v>3</v>
      </c>
    </row>
    <row r="11" spans="1:8" ht="15" thickBot="1" x14ac:dyDescent="0.35">
      <c r="A11" s="5" t="s">
        <v>22</v>
      </c>
      <c r="B11" s="6" t="s">
        <v>23</v>
      </c>
      <c r="C11" s="7">
        <v>97</v>
      </c>
      <c r="D11" s="7">
        <v>94</v>
      </c>
      <c r="E11" s="7">
        <v>78</v>
      </c>
      <c r="F11" s="6">
        <f t="shared" si="0"/>
        <v>269</v>
      </c>
      <c r="G11" s="6">
        <f t="shared" si="1"/>
        <v>1</v>
      </c>
      <c r="H11" s="6">
        <f t="shared" si="2"/>
        <v>1</v>
      </c>
    </row>
    <row r="12" spans="1:8" ht="15" thickBot="1" x14ac:dyDescent="0.35">
      <c r="A12" s="5" t="s">
        <v>24</v>
      </c>
      <c r="B12" s="6" t="s">
        <v>25</v>
      </c>
      <c r="C12" s="7">
        <v>67</v>
      </c>
      <c r="D12" s="6">
        <v>61</v>
      </c>
      <c r="E12" s="7">
        <v>85</v>
      </c>
      <c r="F12" s="6">
        <f t="shared" si="0"/>
        <v>213</v>
      </c>
      <c r="G12" s="6">
        <f t="shared" si="1"/>
        <v>5</v>
      </c>
      <c r="H12" s="6">
        <f t="shared" si="2"/>
        <v>5</v>
      </c>
    </row>
    <row r="13" spans="1:8" ht="15" thickBot="1" x14ac:dyDescent="0.35">
      <c r="A13" s="5" t="s">
        <v>26</v>
      </c>
      <c r="B13" s="6" t="s">
        <v>27</v>
      </c>
      <c r="C13" s="7">
        <v>92</v>
      </c>
      <c r="D13" s="6">
        <v>72</v>
      </c>
      <c r="E13" s="6"/>
      <c r="F13" s="6">
        <f t="shared" si="0"/>
        <v>164</v>
      </c>
      <c r="G13" s="6">
        <f t="shared" si="1"/>
        <v>8</v>
      </c>
      <c r="H13" s="6">
        <f t="shared" si="2"/>
        <v>8</v>
      </c>
    </row>
    <row r="14" spans="1:8" ht="15" thickBot="1" x14ac:dyDescent="0.35">
      <c r="A14" s="5" t="s">
        <v>28</v>
      </c>
      <c r="B14" s="6" t="s">
        <v>29</v>
      </c>
      <c r="C14" s="6"/>
      <c r="D14" s="7">
        <v>76</v>
      </c>
      <c r="E14" s="7">
        <v>94</v>
      </c>
      <c r="F14" s="6">
        <f t="shared" si="0"/>
        <v>170</v>
      </c>
      <c r="G14" s="6">
        <f t="shared" si="1"/>
        <v>7</v>
      </c>
      <c r="H14" s="6">
        <f t="shared" si="2"/>
        <v>7</v>
      </c>
    </row>
    <row r="15" spans="1:8" ht="15" thickBot="1" x14ac:dyDescent="0.35">
      <c r="A15" s="5" t="s">
        <v>30</v>
      </c>
      <c r="B15" s="6" t="s">
        <v>31</v>
      </c>
      <c r="C15" s="7">
        <v>62</v>
      </c>
      <c r="D15" s="6"/>
      <c r="E15" s="7">
        <v>97</v>
      </c>
      <c r="F15" s="6">
        <f t="shared" si="0"/>
        <v>159</v>
      </c>
      <c r="G15" s="6">
        <f t="shared" si="1"/>
        <v>9</v>
      </c>
      <c r="H15" s="6">
        <f t="shared" si="2"/>
        <v>9.5</v>
      </c>
    </row>
    <row r="16" spans="1:8" ht="15" thickBot="1" x14ac:dyDescent="0.35">
      <c r="A16" s="2"/>
      <c r="B16" s="2"/>
      <c r="C16" s="2"/>
      <c r="D16" s="2"/>
      <c r="E16" s="2"/>
      <c r="F16" s="2"/>
      <c r="G16" s="2"/>
      <c r="H16" s="2"/>
    </row>
    <row r="17" spans="1:8" ht="15" thickBot="1" x14ac:dyDescent="0.35">
      <c r="A17" s="20" t="s">
        <v>32</v>
      </c>
      <c r="B17" s="21"/>
      <c r="C17" s="21"/>
      <c r="D17" s="21"/>
      <c r="E17" s="21"/>
      <c r="F17" s="21"/>
      <c r="G17" s="21"/>
      <c r="H17" s="22"/>
    </row>
    <row r="18" spans="1:8" ht="15" thickBot="1" x14ac:dyDescent="0.35">
      <c r="A18" s="3" t="s">
        <v>33</v>
      </c>
      <c r="B18" s="4" t="s">
        <v>6</v>
      </c>
      <c r="C18" s="4" t="s">
        <v>7</v>
      </c>
      <c r="D18" s="4" t="s">
        <v>8</v>
      </c>
      <c r="E18" s="4" t="s">
        <v>34</v>
      </c>
      <c r="F18" s="2"/>
      <c r="G18" s="2"/>
      <c r="H18" s="2"/>
    </row>
    <row r="19" spans="1:8" ht="15" thickBot="1" x14ac:dyDescent="0.35">
      <c r="A19" s="8" t="s">
        <v>35</v>
      </c>
      <c r="B19" s="9">
        <v>55</v>
      </c>
      <c r="C19" s="9">
        <v>60</v>
      </c>
      <c r="D19" s="9">
        <v>90</v>
      </c>
      <c r="E19" s="9">
        <f>SUM(B19:D19)</f>
        <v>205</v>
      </c>
      <c r="F19" s="2"/>
      <c r="G19" s="2"/>
      <c r="H19" s="2"/>
    </row>
    <row r="20" spans="1:8" ht="15" thickBot="1" x14ac:dyDescent="0.35">
      <c r="A20" s="8" t="s">
        <v>36</v>
      </c>
      <c r="B20" s="9">
        <v>85</v>
      </c>
      <c r="C20" s="9">
        <v>46</v>
      </c>
      <c r="D20" s="9">
        <v>97</v>
      </c>
      <c r="E20" s="9">
        <f>AVERAGE(B20:D20)</f>
        <v>76</v>
      </c>
      <c r="F20" s="2"/>
      <c r="G20" s="2"/>
      <c r="H20" s="2"/>
    </row>
    <row r="21" spans="1:8" ht="15" thickBot="1" x14ac:dyDescent="0.35">
      <c r="A21" s="8" t="s">
        <v>37</v>
      </c>
      <c r="B21" s="9">
        <v>88</v>
      </c>
      <c r="C21" s="9">
        <v>74</v>
      </c>
      <c r="D21" s="9">
        <v>63</v>
      </c>
      <c r="E21" s="9">
        <f>MIN(B21:D21)</f>
        <v>63</v>
      </c>
      <c r="F21" s="2"/>
      <c r="G21" s="2"/>
      <c r="H21" s="2"/>
    </row>
    <row r="22" spans="1:8" ht="15" thickBot="1" x14ac:dyDescent="0.35">
      <c r="A22" s="8" t="s">
        <v>38</v>
      </c>
      <c r="B22" s="9">
        <v>45</v>
      </c>
      <c r="C22" s="9">
        <v>68</v>
      </c>
      <c r="D22" s="9">
        <v>87</v>
      </c>
      <c r="E22" s="9">
        <f>MAX(B22:D22)</f>
        <v>87</v>
      </c>
      <c r="F22" s="2"/>
      <c r="G22" s="2"/>
      <c r="H22" s="2"/>
    </row>
    <row r="23" spans="1:8" ht="15" thickBot="1" x14ac:dyDescent="0.35">
      <c r="A23" s="8" t="s">
        <v>39</v>
      </c>
      <c r="B23" s="9">
        <v>95</v>
      </c>
      <c r="C23" s="9">
        <v>84</v>
      </c>
      <c r="D23" s="9">
        <v>76</v>
      </c>
      <c r="E23" s="9">
        <f>COUNT(B23:D23)</f>
        <v>3</v>
      </c>
      <c r="F23" s="2"/>
      <c r="G23" s="2"/>
      <c r="H23" s="2"/>
    </row>
    <row r="24" spans="1:8" ht="15" thickBot="1" x14ac:dyDescent="0.35">
      <c r="A24" s="8" t="s">
        <v>40</v>
      </c>
      <c r="B24" s="9">
        <v>58</v>
      </c>
      <c r="C24" s="9">
        <v>60</v>
      </c>
      <c r="D24" s="9">
        <v>79</v>
      </c>
      <c r="E24" s="9">
        <f>COUNTA(B24:D24)</f>
        <v>3</v>
      </c>
      <c r="F24" s="2"/>
      <c r="G24" s="2"/>
      <c r="H24" s="2"/>
    </row>
    <row r="25" spans="1:8" ht="15" thickBot="1" x14ac:dyDescent="0.35">
      <c r="A25" s="8" t="s">
        <v>41</v>
      </c>
      <c r="B25" s="9">
        <v>57</v>
      </c>
      <c r="C25" s="9"/>
      <c r="D25" s="9">
        <v>57</v>
      </c>
      <c r="E25" s="9">
        <f>COUNTBLANK(B25:D25)</f>
        <v>1</v>
      </c>
      <c r="F25" s="2"/>
      <c r="G25" s="2"/>
      <c r="H25" s="2"/>
    </row>
    <row r="26" spans="1:8" ht="15" thickBot="1" x14ac:dyDescent="0.35">
      <c r="A26" s="2"/>
      <c r="B26" s="2"/>
      <c r="C26" s="2"/>
      <c r="D26" s="2"/>
      <c r="E26" s="2"/>
      <c r="F26" s="2"/>
      <c r="G26" s="2"/>
      <c r="H26" s="2"/>
    </row>
    <row r="27" spans="1:8" ht="15" thickBot="1" x14ac:dyDescent="0.35">
      <c r="A27" s="2"/>
      <c r="B27" s="2"/>
      <c r="C27" s="2"/>
      <c r="D27" s="2"/>
      <c r="E27" s="2"/>
      <c r="F27" s="2"/>
      <c r="G27" s="2"/>
      <c r="H27" s="2"/>
    </row>
    <row r="28" spans="1:8" ht="15" thickBot="1" x14ac:dyDescent="0.35">
      <c r="A28" s="23" t="s">
        <v>42</v>
      </c>
      <c r="B28" s="24"/>
      <c r="C28" s="24"/>
      <c r="D28" s="24"/>
      <c r="E28" s="24"/>
      <c r="F28" s="24"/>
      <c r="G28" s="24"/>
      <c r="H28" s="25"/>
    </row>
    <row r="29" spans="1:8" ht="15" thickBot="1" x14ac:dyDescent="0.35">
      <c r="A29" s="2" t="s">
        <v>43</v>
      </c>
      <c r="B29" s="12">
        <v>0.18</v>
      </c>
      <c r="C29" s="2"/>
      <c r="D29" s="2"/>
      <c r="E29" s="2"/>
      <c r="F29" s="2"/>
      <c r="G29" s="2"/>
      <c r="H29" s="2"/>
    </row>
    <row r="30" spans="1:8" ht="15" thickBot="1" x14ac:dyDescent="0.35">
      <c r="A30" s="2"/>
      <c r="B30" s="2"/>
      <c r="C30" s="2"/>
      <c r="D30" s="2"/>
      <c r="E30" s="2"/>
      <c r="F30" s="2"/>
      <c r="G30" s="2"/>
      <c r="H30" s="2"/>
    </row>
    <row r="31" spans="1:8" ht="15" thickBot="1" x14ac:dyDescent="0.35">
      <c r="A31" s="10" t="s">
        <v>44</v>
      </c>
      <c r="B31" s="10" t="s">
        <v>45</v>
      </c>
      <c r="C31" s="10" t="s">
        <v>46</v>
      </c>
      <c r="D31" s="2"/>
      <c r="E31" s="2"/>
      <c r="F31" s="2"/>
      <c r="G31" s="2"/>
      <c r="H31" s="2"/>
    </row>
    <row r="32" spans="1:8" ht="15" thickBot="1" x14ac:dyDescent="0.35">
      <c r="A32" s="2" t="s">
        <v>47</v>
      </c>
      <c r="B32" s="11">
        <v>100</v>
      </c>
      <c r="C32" s="13">
        <f>B32+B32*$B$29</f>
        <v>118</v>
      </c>
      <c r="D32" s="2"/>
      <c r="E32" s="2"/>
      <c r="F32" s="2"/>
      <c r="G32" s="2"/>
      <c r="H32" s="2"/>
    </row>
    <row r="33" spans="1:8" ht="15" thickBot="1" x14ac:dyDescent="0.35">
      <c r="A33" s="2" t="s">
        <v>48</v>
      </c>
      <c r="B33" s="11">
        <v>250</v>
      </c>
      <c r="C33" s="13">
        <f t="shared" ref="C33:C34" si="3">B33+B33*$B$29</f>
        <v>295</v>
      </c>
      <c r="D33" s="2"/>
      <c r="E33" s="2"/>
      <c r="F33" s="2"/>
      <c r="G33" s="2"/>
      <c r="H33" s="2"/>
    </row>
    <row r="34" spans="1:8" ht="15" thickBot="1" x14ac:dyDescent="0.35">
      <c r="A34" s="2" t="s">
        <v>49</v>
      </c>
      <c r="B34" s="11">
        <v>80</v>
      </c>
      <c r="C34" s="13">
        <f t="shared" si="3"/>
        <v>94.4</v>
      </c>
      <c r="D34" s="2"/>
      <c r="E34" s="2"/>
      <c r="F34" s="2"/>
      <c r="G34" s="2"/>
      <c r="H34" s="2"/>
    </row>
    <row r="35" spans="1:8" ht="15" thickBot="1" x14ac:dyDescent="0.35">
      <c r="A35" s="2"/>
      <c r="B35" s="2"/>
      <c r="C35" s="2"/>
      <c r="D35" s="2"/>
      <c r="E35" s="2"/>
      <c r="F35" s="2"/>
      <c r="G35" s="2"/>
      <c r="H35" s="2"/>
    </row>
    <row r="36" spans="1:8" ht="15" thickBot="1" x14ac:dyDescent="0.35">
      <c r="A36" s="2"/>
      <c r="B36" s="2"/>
      <c r="C36" s="2"/>
      <c r="D36" s="2"/>
      <c r="E36" s="2"/>
      <c r="F36" s="2"/>
      <c r="G36" s="2"/>
      <c r="H36" s="2"/>
    </row>
    <row r="37" spans="1:8" ht="15" thickBot="1" x14ac:dyDescent="0.35">
      <c r="A37" s="2"/>
      <c r="B37" s="2"/>
      <c r="C37" s="2"/>
      <c r="D37" s="2"/>
      <c r="E37" s="2"/>
      <c r="F37" s="2"/>
      <c r="G37" s="2"/>
      <c r="H37" s="2"/>
    </row>
  </sheetData>
  <mergeCells count="5">
    <mergeCell ref="A1:H1"/>
    <mergeCell ref="A2:H2"/>
    <mergeCell ref="A4:H4"/>
    <mergeCell ref="A17:H17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Kumare</dc:creator>
  <cp:lastModifiedBy>Nikita Kumare</cp:lastModifiedBy>
  <dcterms:created xsi:type="dcterms:W3CDTF">2026-04-14T17:15:34Z</dcterms:created>
  <dcterms:modified xsi:type="dcterms:W3CDTF">2026-04-21T15:40:17Z</dcterms:modified>
</cp:coreProperties>
</file>